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TECH\"/>
    </mc:Choice>
  </mc:AlternateContent>
  <xr:revisionPtr revIDLastSave="0" documentId="13_ncr:1_{263951B5-333F-48A4-828A-6F77DF36907C}" xr6:coauthVersionLast="47" xr6:coauthVersionMax="47" xr10:uidLastSave="{00000000-0000-0000-0000-000000000000}"/>
  <bookViews>
    <workbookView xWindow="-110" yWindow="-110" windowWidth="19420" windowHeight="10300" xr2:uid="{31CBDD5B-CD90-4B44-A9DF-A7D84DF0B8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1" l="1"/>
  <c r="L11" i="1"/>
  <c r="H9" i="1"/>
  <c r="I9" i="1"/>
  <c r="J9" i="1"/>
  <c r="K9" i="1"/>
  <c r="L9" i="1"/>
  <c r="G9" i="1"/>
  <c r="L3" i="1"/>
  <c r="L4" i="1"/>
  <c r="L5" i="1"/>
  <c r="L6" i="1"/>
  <c r="L7" i="1"/>
  <c r="K3" i="1"/>
  <c r="K4" i="1"/>
  <c r="K5" i="1"/>
  <c r="K6" i="1"/>
  <c r="K7" i="1"/>
  <c r="L2" i="1"/>
  <c r="K2" i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<sst xmlns="http://schemas.openxmlformats.org/spreadsheetml/2006/main" count="22" uniqueCount="18">
  <si>
    <t>Course</t>
  </si>
  <si>
    <t>Registration Fee</t>
  </si>
  <si>
    <t>Tuition Fee</t>
  </si>
  <si>
    <t>Total Payable</t>
  </si>
  <si>
    <t>Basic Computer and Digital Literacy</t>
  </si>
  <si>
    <t>Computer Hardware Repair and Maintenance</t>
  </si>
  <si>
    <t>Mobile Phone Repair and Maintenance</t>
  </si>
  <si>
    <t>Hair Dressing and Salon Management</t>
  </si>
  <si>
    <t>Raksha Repair and Maintenance</t>
  </si>
  <si>
    <t>Motorcycle Repair and Maintenance</t>
  </si>
  <si>
    <t>Duration</t>
  </si>
  <si>
    <t>1 Month</t>
  </si>
  <si>
    <t>3 Months</t>
  </si>
  <si>
    <t>August</t>
  </si>
  <si>
    <t>September</t>
  </si>
  <si>
    <t>October</t>
  </si>
  <si>
    <t>Total</t>
  </si>
  <si>
    <t>In three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</si>
</sst>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B9D5-C0E0-4B22-8F62-5A1F3FFAB071}">
  <dimension ref="A1:L15"/>
  <sheetViews>
    <sheetView tabSelected="1" workbookViewId="0">
      <selection activeCell="L16" sqref="L16"/>
    </sheetView>
  </sheetViews>
  <sheetFormatPr defaultRowHeight="14.5" x14ac:dyDescent="0.35"/>
  <cols>
    <col min="1" max="1" width="39.36328125" bestFit="1" customWidth="1"/>
    <col min="2" max="2" width="8.7265625" bestFit="1" customWidth="1"/>
    <col min="3" max="3" width="14.1796875" bestFit="1" customWidth="1"/>
    <col min="4" max="4" width="10" bestFit="1" customWidth="1"/>
    <col min="5" max="5" width="11.90625" bestFit="1" customWidth="1"/>
    <col min="8" max="8" width="9.90625" bestFit="1" customWidth="1"/>
  </cols>
  <sheetData>
    <row r="1" spans="1:12" x14ac:dyDescent="0.35">
      <c r="A1" t="s">
        <v>0</v>
      </c>
      <c r="B1" t="s">
        <v>10</v>
      </c>
      <c r="C1" t="s">
        <v>1</v>
      </c>
      <c r="D1" t="s">
        <v>2</v>
      </c>
      <c r="E1" t="s">
        <v>3</v>
      </c>
      <c r="G1" t="s">
        <v>13</v>
      </c>
      <c r="H1" t="s">
        <v>14</v>
      </c>
      <c r="I1" t="s">
        <v>15</v>
      </c>
    </row>
    <row r="2" spans="1:12" x14ac:dyDescent="0.35">
      <c r="A2" t="s">
        <v>4</v>
      </c>
      <c r="B2" t="s">
        <v>11</v>
      </c>
      <c r="C2">
        <v>35000</v>
      </c>
      <c r="D2">
        <v>200000</v>
      </c>
      <c r="E2">
        <f>C2+D2</f>
        <v>235000</v>
      </c>
      <c r="G2">
        <v>2</v>
      </c>
      <c r="H2">
        <v>3</v>
      </c>
      <c r="I2">
        <v>4</v>
      </c>
      <c r="K2">
        <f>G2+H2+I2</f>
        <v>9</v>
      </c>
      <c r="L2">
        <f>K2*E2</f>
        <v>2115000</v>
      </c>
    </row>
    <row r="3" spans="1:12" x14ac:dyDescent="0.35">
      <c r="A3" t="s">
        <v>5</v>
      </c>
      <c r="B3" t="s">
        <v>12</v>
      </c>
      <c r="C3">
        <v>35000</v>
      </c>
      <c r="D3">
        <v>500000</v>
      </c>
      <c r="E3">
        <f t="shared" ref="E3:E7" si="0">C3+D3</f>
        <v>535000</v>
      </c>
      <c r="G3">
        <v>2</v>
      </c>
      <c r="H3">
        <v>3</v>
      </c>
      <c r="I3">
        <v>4</v>
      </c>
      <c r="K3">
        <f t="shared" ref="K3:K7" si="1">G3+H3+I3</f>
        <v>9</v>
      </c>
      <c r="L3">
        <f t="shared" ref="L3:L7" si="2">K3*E3</f>
        <v>4815000</v>
      </c>
    </row>
    <row r="4" spans="1:12" x14ac:dyDescent="0.35">
      <c r="A4" t="s">
        <v>6</v>
      </c>
      <c r="B4" t="s">
        <v>12</v>
      </c>
      <c r="C4">
        <v>35000</v>
      </c>
      <c r="D4">
        <v>450000</v>
      </c>
      <c r="E4">
        <f t="shared" si="0"/>
        <v>485000</v>
      </c>
      <c r="G4">
        <v>3</v>
      </c>
      <c r="H4">
        <v>4</v>
      </c>
      <c r="I4">
        <v>5</v>
      </c>
      <c r="K4">
        <f t="shared" si="1"/>
        <v>12</v>
      </c>
      <c r="L4">
        <f t="shared" si="2"/>
        <v>5820000</v>
      </c>
    </row>
    <row r="5" spans="1:12" x14ac:dyDescent="0.35">
      <c r="A5" t="s">
        <v>7</v>
      </c>
      <c r="B5" t="s">
        <v>11</v>
      </c>
      <c r="C5">
        <v>35000</v>
      </c>
      <c r="D5">
        <v>300000</v>
      </c>
      <c r="E5">
        <f t="shared" si="0"/>
        <v>335000</v>
      </c>
      <c r="G5">
        <v>4</v>
      </c>
      <c r="H5">
        <v>5</v>
      </c>
      <c r="I5">
        <v>6</v>
      </c>
      <c r="K5">
        <f t="shared" si="1"/>
        <v>15</v>
      </c>
      <c r="L5">
        <f t="shared" si="2"/>
        <v>5025000</v>
      </c>
    </row>
    <row r="6" spans="1:12" x14ac:dyDescent="0.35">
      <c r="A6" t="s">
        <v>8</v>
      </c>
      <c r="B6" t="s">
        <v>12</v>
      </c>
      <c r="C6">
        <v>35000</v>
      </c>
      <c r="D6">
        <v>700000</v>
      </c>
      <c r="E6">
        <f t="shared" si="0"/>
        <v>735000</v>
      </c>
      <c r="G6">
        <v>5</v>
      </c>
      <c r="H6">
        <v>6</v>
      </c>
      <c r="I6">
        <v>7</v>
      </c>
      <c r="K6">
        <f t="shared" si="1"/>
        <v>18</v>
      </c>
      <c r="L6">
        <f t="shared" si="2"/>
        <v>13230000</v>
      </c>
    </row>
    <row r="7" spans="1:12" x14ac:dyDescent="0.35">
      <c r="A7" t="s">
        <v>9</v>
      </c>
      <c r="B7" t="s">
        <v>12</v>
      </c>
      <c r="C7">
        <v>35000</v>
      </c>
      <c r="D7">
        <v>650000</v>
      </c>
      <c r="E7">
        <f t="shared" si="0"/>
        <v>685000</v>
      </c>
      <c r="G7">
        <v>3</v>
      </c>
      <c r="H7">
        <v>4</v>
      </c>
      <c r="I7">
        <v>8</v>
      </c>
      <c r="K7">
        <f t="shared" si="1"/>
        <v>15</v>
      </c>
      <c r="L7">
        <f t="shared" si="2"/>
        <v>10275000</v>
      </c>
    </row>
    <row r="9" spans="1:12" x14ac:dyDescent="0.35">
      <c r="F9" t="s">
        <v>16</v>
      </c>
      <c r="G9">
        <f>SUM(G2:G7)</f>
        <v>19</v>
      </c>
      <c r="H9">
        <f t="shared" ref="H9:L9" si="3">SUM(H2:H7)</f>
        <v>25</v>
      </c>
      <c r="I9">
        <f t="shared" si="3"/>
        <v>34</v>
      </c>
      <c r="J9">
        <f t="shared" si="3"/>
        <v>0</v>
      </c>
      <c r="K9">
        <f t="shared" si="3"/>
        <v>78</v>
      </c>
      <c r="L9">
        <f t="shared" si="3"/>
        <v>41280000</v>
      </c>
    </row>
    <row r="11" spans="1:12" x14ac:dyDescent="0.35">
      <c r="L11">
        <f>(L9*100)/600000</f>
        <v>6880</v>
      </c>
    </row>
    <row r="13" spans="1:12" x14ac:dyDescent="0.35">
      <c r="L13" t="s">
        <v>17</v>
      </c>
    </row>
    <row r="15" spans="1:12" x14ac:dyDescent="0.35">
      <c r="L15">
        <f>200*3</f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2025-08-02T10:48:03Z</dcterms:created>
  <dcterms:modified xsi:type="dcterms:W3CDTF">2025-08-02T11:10:58Z</dcterms:modified>
</cp:coreProperties>
</file>